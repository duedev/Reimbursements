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Milad Hosseini\Desktop\reim\"/>
    </mc:Choice>
  </mc:AlternateContent>
  <xr:revisionPtr revIDLastSave="230" documentId="13_ncr:1_{554523C3-8409-4F8C-A7B0-99DA97D0A3C8}" xr6:coauthVersionLast="47" xr6:coauthVersionMax="47" xr10:uidLastSave="{98A5F623-11B1-4C7F-B1E9-15F71DF775C8}"/>
  <bookViews>
    <workbookView xWindow="-120" yWindow="-120" windowWidth="29040" windowHeight="15840" xr2:uid="{0A7FABAF-0773-4270-AF97-08683AFA905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63" i="1"/>
  <c r="F96" i="1"/>
  <c r="F97" i="1"/>
</calcChain>
</file>

<file path=xl/sharedStrings.xml><?xml version="1.0" encoding="utf-8"?>
<sst xmlns="http://schemas.openxmlformats.org/spreadsheetml/2006/main" count="122" uniqueCount="50">
  <si>
    <t>Expense Reimbursement Form</t>
  </si>
  <si>
    <t>Employee Name:</t>
  </si>
  <si>
    <t>Duane Hamilton</t>
  </si>
  <si>
    <t>Expense Period:</t>
  </si>
  <si>
    <t>12/25/25 - 04/24/25</t>
  </si>
  <si>
    <t>**Due Thursday by 12 p.m.**</t>
  </si>
  <si>
    <t>FUEL</t>
  </si>
  <si>
    <t>Receipt
No.</t>
  </si>
  <si>
    <t>Date</t>
  </si>
  <si>
    <t>Job Name</t>
  </si>
  <si>
    <t>Job Number</t>
  </si>
  <si>
    <t>Amount</t>
  </si>
  <si>
    <t>24.3P - RCSD 3650 14TH St. Tenant Improvement</t>
  </si>
  <si>
    <t>24.3P</t>
  </si>
  <si>
    <t>Subtotal</t>
  </si>
  <si>
    <t>MATERIALS</t>
  </si>
  <si>
    <t>Store / Job Name</t>
  </si>
  <si>
    <t>Home Depot</t>
  </si>
  <si>
    <t>Lowes</t>
  </si>
  <si>
    <t xml:space="preserve">24.3P </t>
  </si>
  <si>
    <t>MISCELLENEOUS</t>
  </si>
  <si>
    <t>Expense Description</t>
  </si>
  <si>
    <t>December</t>
  </si>
  <si>
    <t>Cell Phone</t>
  </si>
  <si>
    <t>Jaunary</t>
  </si>
  <si>
    <t>Feburary</t>
  </si>
  <si>
    <t>March</t>
  </si>
  <si>
    <t>April</t>
  </si>
  <si>
    <t>T-Mobile/24.3P</t>
  </si>
  <si>
    <t>Jobsite Wifi</t>
  </si>
  <si>
    <t>Costco/24.3P</t>
  </si>
  <si>
    <t>Jobsite Coffee</t>
  </si>
  <si>
    <t>Stater Bros/24.3P</t>
  </si>
  <si>
    <t>Jobsite Water, Cups</t>
  </si>
  <si>
    <t>Butchs Grinders/24.3P</t>
  </si>
  <si>
    <t>Team Building</t>
  </si>
  <si>
    <t>Pizza Hut/24.3P</t>
  </si>
  <si>
    <t>Contractor Appreciation</t>
  </si>
  <si>
    <t>Starbucks/24.3P</t>
  </si>
  <si>
    <t>Meeting Coffee</t>
  </si>
  <si>
    <t>Riverside Planning Department/24.3P</t>
  </si>
  <si>
    <t>Print Pickup</t>
  </si>
  <si>
    <t>steves donuts/24.3P</t>
  </si>
  <si>
    <t>Meeting Donuts</t>
  </si>
  <si>
    <t>gas station/24.3P</t>
  </si>
  <si>
    <t>Water</t>
  </si>
  <si>
    <t>Taco Station/24.3P</t>
  </si>
  <si>
    <t>Vincor group bonding</t>
  </si>
  <si>
    <t xml:space="preserve">**Please attach receipts.**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</si>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</sst>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Cambria"/>
      <family val="1"/>
    </font>
    <font>
      <b/>
      <sz val="12"/>
      <color indexed="8"/>
      <name val="Arial"/>
      <family val="2"/>
    </font>
    <font>
      <b/>
      <sz val="12"/>
      <color indexed="8"/>
      <name val="Cambria"/>
      <family val="1"/>
    </font>
    <font>
      <sz val="12"/>
      <color indexed="8"/>
      <name val="Cambria"/>
      <family val="1"/>
    </font>
    <font>
      <b/>
      <sz val="12"/>
      <color indexed="10"/>
      <name val="Cambria"/>
      <family val="1"/>
    </font>
    <font>
      <sz val="12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9"/>
      <name val="Cambria"/>
      <family val="1"/>
    </font>
    <font>
      <b/>
      <sz val="11"/>
      <color indexed="9"/>
      <name val="Cambria"/>
      <family val="1"/>
    </font>
    <font>
      <sz val="11"/>
      <name val="Calibri"/>
      <family val="2"/>
    </font>
    <font>
      <sz val="12"/>
      <color rgb="FF000000"/>
      <name val="Cambria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FFFFFF"/>
        <bgColor rgb="FF000000"/>
      </patternFill>
    </fill>
  </fills>
  <borders count="43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ashDotDot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44" fontId="10" fillId="2" borderId="0" xfId="1" applyFont="1" applyFill="1" applyBorder="1" applyAlignment="1" applyProtection="1">
      <alignment horizontal="center" vertical="center"/>
      <protection locked="0"/>
    </xf>
    <xf numFmtId="44" fontId="9" fillId="2" borderId="0" xfId="1" applyFont="1" applyFill="1" applyAlignment="1" applyProtection="1">
      <alignment horizontal="center" vertical="center"/>
      <protection locked="0"/>
    </xf>
    <xf numFmtId="14" fontId="12" fillId="5" borderId="0" xfId="0" applyNumberFormat="1" applyFont="1" applyFill="1" applyAlignment="1" applyProtection="1">
      <alignment horizontal="center" vertical="center" wrapText="1"/>
      <protection locked="0"/>
    </xf>
    <xf numFmtId="14" fontId="12" fillId="5" borderId="0" xfId="0" applyNumberFormat="1" applyFont="1" applyFill="1" applyAlignment="1" applyProtection="1">
      <alignment horizontal="center" vertical="center"/>
      <protection locked="0"/>
    </xf>
    <xf numFmtId="164" fontId="5" fillId="2" borderId="7" xfId="0" applyNumberFormat="1" applyFont="1" applyFill="1" applyBorder="1" applyAlignment="1" applyProtection="1">
      <alignment horizontal="center" vertical="center"/>
      <protection locked="0"/>
    </xf>
    <xf numFmtId="164" fontId="5" fillId="2" borderId="8" xfId="0" applyNumberFormat="1" applyFont="1" applyFill="1" applyBorder="1" applyAlignment="1" applyProtection="1">
      <alignment horizontal="center" vertical="center"/>
      <protection locked="0"/>
    </xf>
    <xf numFmtId="164" fontId="5" fillId="0" borderId="11" xfId="0" applyNumberFormat="1" applyFont="1" applyBorder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44" fontId="4" fillId="3" borderId="0" xfId="1" applyFont="1" applyFill="1" applyBorder="1" applyAlignment="1" applyProtection="1">
      <alignment horizontal="center" vertical="center"/>
      <protection locked="0" hidden="1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44" fontId="1" fillId="0" borderId="0" xfId="1" applyAlignment="1" applyProtection="1">
      <alignment vertical="center"/>
      <protection locked="0"/>
    </xf>
    <xf numFmtId="44" fontId="1" fillId="0" borderId="0" xfId="1" applyAlignment="1" applyProtection="1">
      <alignment horizontal="center" vertical="center"/>
      <protection locked="0"/>
    </xf>
    <xf numFmtId="14" fontId="11" fillId="4" borderId="5" xfId="0" applyNumberFormat="1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164" fontId="5" fillId="2" borderId="15" xfId="0" applyNumberFormat="1" applyFont="1" applyFill="1" applyBorder="1" applyAlignment="1" applyProtection="1">
      <alignment horizontal="center" vertical="center"/>
      <protection locked="0"/>
    </xf>
    <xf numFmtId="44" fontId="5" fillId="2" borderId="15" xfId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 applyProtection="1">
      <alignment horizontal="center" vertical="center"/>
      <protection locked="0"/>
    </xf>
    <xf numFmtId="49" fontId="13" fillId="0" borderId="15" xfId="0" applyNumberFormat="1" applyFont="1" applyBorder="1" applyAlignment="1" applyProtection="1">
      <alignment horizontal="left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8" xfId="0" applyFont="1" applyFill="1" applyBorder="1" applyAlignment="1" applyProtection="1">
      <alignment horizontal="center" vertical="center"/>
      <protection locked="0"/>
    </xf>
    <xf numFmtId="44" fontId="4" fillId="3" borderId="14" xfId="0" applyNumberFormat="1" applyFont="1" applyFill="1" applyBorder="1" applyAlignment="1" applyProtection="1">
      <alignment horizontal="center" vertical="center"/>
      <protection locked="0"/>
    </xf>
    <xf numFmtId="164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44" fontId="5" fillId="2" borderId="21" xfId="1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 applyProtection="1">
      <alignment horizontal="center" vertical="center"/>
      <protection locked="0"/>
    </xf>
    <xf numFmtId="44" fontId="5" fillId="2" borderId="25" xfId="1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49" fontId="5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14" fillId="6" borderId="33" xfId="0" applyFont="1" applyFill="1" applyBorder="1"/>
    <xf numFmtId="0" fontId="14" fillId="6" borderId="36" xfId="0" applyFont="1" applyFill="1" applyBorder="1"/>
    <xf numFmtId="8" fontId="5" fillId="2" borderId="28" xfId="1" applyNumberFormat="1" applyFont="1" applyFill="1" applyBorder="1" applyAlignment="1" applyProtection="1">
      <alignment horizontal="center" vertical="center"/>
      <protection locked="0"/>
    </xf>
    <xf numFmtId="8" fontId="5" fillId="2" borderId="19" xfId="1" applyNumberFormat="1" applyFont="1" applyFill="1" applyBorder="1" applyAlignment="1" applyProtection="1">
      <alignment horizontal="center" vertical="center"/>
      <protection locked="0"/>
    </xf>
    <xf numFmtId="8" fontId="5" fillId="2" borderId="21" xfId="1" applyNumberFormat="1" applyFont="1" applyFill="1" applyBorder="1" applyAlignment="1" applyProtection="1">
      <alignment horizontal="center" vertical="center"/>
      <protection locked="0"/>
    </xf>
    <xf numFmtId="8" fontId="5" fillId="2" borderId="30" xfId="1" applyNumberFormat="1" applyFont="1" applyFill="1" applyBorder="1" applyAlignment="1" applyProtection="1">
      <alignment horizontal="center" vertical="center"/>
      <protection locked="0"/>
    </xf>
    <xf numFmtId="8" fontId="5" fillId="2" borderId="32" xfId="1" applyNumberFormat="1" applyFont="1" applyFill="1" applyBorder="1" applyAlignment="1" applyProtection="1">
      <alignment horizontal="center" vertical="center"/>
      <protection locked="0"/>
    </xf>
    <xf numFmtId="8" fontId="5" fillId="2" borderId="15" xfId="1" applyNumberFormat="1" applyFont="1" applyFill="1" applyBorder="1" applyAlignment="1" applyProtection="1">
      <alignment horizontal="center" vertical="center"/>
      <protection locked="0"/>
    </xf>
    <xf numFmtId="8" fontId="4" fillId="3" borderId="0" xfId="1" applyNumberFormat="1" applyFont="1" applyFill="1" applyBorder="1" applyAlignment="1" applyProtection="1">
      <alignment horizontal="center" vertical="center"/>
      <protection locked="0" hidden="1"/>
    </xf>
    <xf numFmtId="0" fontId="5" fillId="2" borderId="39" xfId="0" applyFont="1" applyFill="1" applyBorder="1" applyAlignment="1" applyProtection="1">
      <alignment horizontal="center" vertical="center"/>
      <protection locked="0"/>
    </xf>
    <xf numFmtId="0" fontId="5" fillId="2" borderId="40" xfId="0" applyFont="1" applyFill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0" fontId="5" fillId="2" borderId="24" xfId="0" applyFont="1" applyFill="1" applyBorder="1" applyAlignment="1" applyProtection="1">
      <alignment horizontal="center" vertical="center"/>
      <protection locked="0"/>
    </xf>
    <xf numFmtId="0" fontId="5" fillId="2" borderId="39" xfId="0" applyFont="1" applyFill="1" applyBorder="1" applyAlignment="1" applyProtection="1">
      <alignment horizontal="center" vertical="center"/>
      <protection locked="0"/>
    </xf>
    <xf numFmtId="0" fontId="5" fillId="2" borderId="40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 wrapText="1"/>
      <protection locked="0"/>
    </xf>
    <xf numFmtId="14" fontId="12" fillId="5" borderId="6" xfId="0" applyNumberFormat="1" applyFont="1" applyFill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center" vertical="center" wrapText="1"/>
      <protection locked="0"/>
    </xf>
    <xf numFmtId="0" fontId="5" fillId="2" borderId="42" xfId="0" applyFont="1" applyFill="1" applyBorder="1" applyAlignment="1" applyProtection="1">
      <alignment horizontal="center" vertical="center" wrapText="1"/>
      <protection locked="0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4" fontId="2" fillId="2" borderId="0" xfId="0" applyNumberFormat="1" applyFont="1" applyFill="1" applyAlignment="1" applyProtection="1">
      <alignment horizontal="center" vertical="center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14" fontId="5" fillId="2" borderId="2" xfId="0" applyNumberFormat="1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14" fontId="11" fillId="4" borderId="5" xfId="0" applyNumberFormat="1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 vertical="center"/>
      <protection locked="0"/>
    </xf>
    <xf numFmtId="14" fontId="6" fillId="2" borderId="0" xfId="0" applyNumberFormat="1" applyFont="1" applyFill="1" applyAlignment="1" applyProtection="1">
      <alignment horizontal="right" vertical="center"/>
      <protection locked="0"/>
    </xf>
    <xf numFmtId="14" fontId="6" fillId="2" borderId="12" xfId="0" applyNumberFormat="1" applyFont="1" applyFill="1" applyBorder="1" applyAlignment="1" applyProtection="1">
      <alignment horizontal="right" vertical="center"/>
      <protection locked="0"/>
    </xf>
    <xf numFmtId="0" fontId="14" fillId="6" borderId="34" xfId="0" applyFont="1" applyFill="1" applyBorder="1" applyAlignment="1"/>
    <xf numFmtId="0" fontId="14" fillId="6" borderId="35" xfId="0" applyFont="1" applyFill="1" applyBorder="1" applyAlignment="1"/>
    <xf numFmtId="0" fontId="14" fillId="6" borderId="37" xfId="0" applyFont="1" applyFill="1" applyBorder="1" applyAlignment="1"/>
    <xf numFmtId="0" fontId="14" fillId="6" borderId="38" xfId="0" applyFont="1" applyFill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4B71-763F-4AF3-B70F-8392E23B6D20}">
  <sheetPr>
    <pageSetUpPr fitToPage="1"/>
  </sheetPr>
  <dimension ref="A1:F97"/>
  <sheetViews>
    <sheetView tabSelected="1" topLeftCell="A90" workbookViewId="0">
      <selection activeCell="B77" sqref="B77"/>
    </sheetView>
  </sheetViews>
  <sheetFormatPr defaultRowHeight="15"/>
  <cols>
    <col min="1" max="1" width="9.42578125" style="15" customWidth="1"/>
    <col min="2" max="2" width="11.42578125" style="16" bestFit="1" customWidth="1"/>
    <col min="3" max="3" width="33" style="2" customWidth="1"/>
    <col min="4" max="4" width="22.42578125" style="2" customWidth="1"/>
    <col min="5" max="5" width="28.5703125" style="17" customWidth="1"/>
    <col min="6" max="6" width="17.28515625" style="18" customWidth="1"/>
  </cols>
  <sheetData>
    <row r="1" spans="1:6" ht="20.25">
      <c r="A1" s="69"/>
      <c r="B1" s="69"/>
      <c r="C1" s="70" t="s">
        <v>0</v>
      </c>
      <c r="D1" s="70"/>
      <c r="E1" s="70"/>
      <c r="F1" s="70"/>
    </row>
    <row r="2" spans="1:6" ht="15.75">
      <c r="A2" s="1"/>
      <c r="B2" s="71" t="s">
        <v>1</v>
      </c>
      <c r="C2" s="72"/>
      <c r="D2" s="73" t="s">
        <v>2</v>
      </c>
      <c r="E2" s="74"/>
      <c r="F2" s="1"/>
    </row>
    <row r="3" spans="1:6" ht="15.75">
      <c r="A3" s="1"/>
      <c r="B3" s="71" t="s">
        <v>3</v>
      </c>
      <c r="C3" s="72"/>
      <c r="D3" s="75" t="s">
        <v>4</v>
      </c>
      <c r="E3" s="74"/>
      <c r="F3" s="1"/>
    </row>
    <row r="4" spans="1:6" ht="15.75">
      <c r="A4" s="1"/>
      <c r="B4" s="1"/>
      <c r="D4" s="76" t="s">
        <v>5</v>
      </c>
      <c r="E4" s="76"/>
      <c r="F4" s="3"/>
    </row>
    <row r="5" spans="1:6" ht="15.75">
      <c r="A5" s="1"/>
      <c r="B5" s="1"/>
      <c r="C5" s="4"/>
      <c r="D5" s="5"/>
      <c r="E5" s="6"/>
      <c r="F5" s="7"/>
    </row>
    <row r="6" spans="1:6" ht="16.5" thickBot="1">
      <c r="A6" s="77" t="s">
        <v>6</v>
      </c>
      <c r="B6" s="77"/>
      <c r="C6" s="77"/>
      <c r="D6" s="77"/>
      <c r="E6" s="77"/>
      <c r="F6" s="77"/>
    </row>
    <row r="7" spans="1:6" ht="29.25">
      <c r="A7" s="8" t="s">
        <v>7</v>
      </c>
      <c r="B7" s="9" t="s">
        <v>8</v>
      </c>
      <c r="C7" s="62" t="s">
        <v>9</v>
      </c>
      <c r="D7" s="62"/>
      <c r="E7" s="9" t="s">
        <v>10</v>
      </c>
      <c r="F7" s="9" t="s">
        <v>11</v>
      </c>
    </row>
    <row r="8" spans="1:6" ht="50.1" customHeight="1">
      <c r="A8" s="20">
        <v>1</v>
      </c>
      <c r="B8" s="21">
        <v>45663</v>
      </c>
      <c r="C8" s="65" t="s">
        <v>12</v>
      </c>
      <c r="D8" s="65"/>
      <c r="E8" s="42" t="s">
        <v>13</v>
      </c>
      <c r="F8" s="22">
        <v>113.68</v>
      </c>
    </row>
    <row r="9" spans="1:6" ht="50.1" customHeight="1">
      <c r="A9" s="20">
        <v>2</v>
      </c>
      <c r="B9" s="21">
        <v>45684</v>
      </c>
      <c r="C9" s="65" t="s">
        <v>12</v>
      </c>
      <c r="D9" s="65"/>
      <c r="E9" s="42" t="s">
        <v>13</v>
      </c>
      <c r="F9" s="22">
        <v>87.68</v>
      </c>
    </row>
    <row r="10" spans="1:6" ht="31.5" customHeight="1">
      <c r="A10" s="20">
        <v>3</v>
      </c>
      <c r="B10" s="21">
        <v>45689</v>
      </c>
      <c r="C10" s="65" t="s">
        <v>12</v>
      </c>
      <c r="D10" s="65"/>
      <c r="E10" s="42" t="s">
        <v>13</v>
      </c>
      <c r="F10" s="22">
        <v>78.5</v>
      </c>
    </row>
    <row r="11" spans="1:6" ht="50.1" customHeight="1">
      <c r="A11" s="20">
        <v>4</v>
      </c>
      <c r="B11" s="23">
        <v>45692</v>
      </c>
      <c r="C11" s="65" t="s">
        <v>12</v>
      </c>
      <c r="D11" s="65"/>
      <c r="E11" s="42" t="s">
        <v>13</v>
      </c>
      <c r="F11" s="22">
        <v>98.14</v>
      </c>
    </row>
    <row r="12" spans="1:6" ht="45.75" customHeight="1">
      <c r="A12" s="20">
        <v>5</v>
      </c>
      <c r="B12" s="21">
        <v>45695</v>
      </c>
      <c r="C12" s="63" t="s">
        <v>12</v>
      </c>
      <c r="D12" s="64"/>
      <c r="E12" s="42" t="s">
        <v>13</v>
      </c>
      <c r="F12" s="22">
        <v>89.98</v>
      </c>
    </row>
    <row r="13" spans="1:6" ht="18" customHeight="1">
      <c r="A13" s="20">
        <v>6</v>
      </c>
      <c r="B13" s="23">
        <v>45703</v>
      </c>
      <c r="C13" s="63" t="s">
        <v>12</v>
      </c>
      <c r="D13" s="64"/>
      <c r="E13" s="42" t="s">
        <v>13</v>
      </c>
      <c r="F13" s="22">
        <v>91.28</v>
      </c>
    </row>
    <row r="14" spans="1:6" ht="18" customHeight="1">
      <c r="A14" s="20">
        <v>7</v>
      </c>
      <c r="B14" s="23">
        <v>45708</v>
      </c>
      <c r="C14" s="63" t="s">
        <v>12</v>
      </c>
      <c r="D14" s="64"/>
      <c r="E14" s="42" t="s">
        <v>13</v>
      </c>
      <c r="F14" s="22">
        <v>99.18</v>
      </c>
    </row>
    <row r="15" spans="1:6" ht="18" customHeight="1">
      <c r="A15" s="20">
        <v>8</v>
      </c>
      <c r="B15" s="23">
        <v>45715</v>
      </c>
      <c r="C15" s="63" t="s">
        <v>12</v>
      </c>
      <c r="D15" s="64"/>
      <c r="E15" s="42" t="s">
        <v>13</v>
      </c>
      <c r="F15" s="22">
        <v>107.99</v>
      </c>
    </row>
    <row r="16" spans="1:6" ht="18" customHeight="1">
      <c r="A16" s="20">
        <v>9</v>
      </c>
      <c r="B16" s="23">
        <v>45722</v>
      </c>
      <c r="C16" s="63" t="s">
        <v>12</v>
      </c>
      <c r="D16" s="64"/>
      <c r="E16" s="42" t="s">
        <v>13</v>
      </c>
      <c r="F16" s="22">
        <v>94.46</v>
      </c>
    </row>
    <row r="17" spans="1:6" ht="18" customHeight="1">
      <c r="A17" s="20">
        <v>10</v>
      </c>
      <c r="B17" s="23">
        <v>45726</v>
      </c>
      <c r="C17" s="63" t="s">
        <v>12</v>
      </c>
      <c r="D17" s="64"/>
      <c r="E17" s="42" t="s">
        <v>13</v>
      </c>
      <c r="F17" s="22">
        <v>104.43</v>
      </c>
    </row>
    <row r="18" spans="1:6" ht="18" customHeight="1">
      <c r="A18" s="20">
        <v>11</v>
      </c>
      <c r="B18" s="23">
        <v>45733</v>
      </c>
      <c r="C18" s="63" t="s">
        <v>12</v>
      </c>
      <c r="D18" s="64"/>
      <c r="E18" s="42" t="s">
        <v>13</v>
      </c>
      <c r="F18" s="22">
        <v>80.34</v>
      </c>
    </row>
    <row r="19" spans="1:6" ht="18" customHeight="1">
      <c r="A19" s="20">
        <v>12</v>
      </c>
      <c r="B19" s="23">
        <v>45737</v>
      </c>
      <c r="C19" s="63" t="s">
        <v>12</v>
      </c>
      <c r="D19" s="64"/>
      <c r="E19" s="42" t="s">
        <v>13</v>
      </c>
      <c r="F19" s="22">
        <v>84.32</v>
      </c>
    </row>
    <row r="20" spans="1:6" ht="18" customHeight="1">
      <c r="A20" s="20">
        <v>13</v>
      </c>
      <c r="B20" s="23">
        <v>45743</v>
      </c>
      <c r="C20" s="63" t="s">
        <v>12</v>
      </c>
      <c r="D20" s="64"/>
      <c r="E20" s="42" t="s">
        <v>13</v>
      </c>
      <c r="F20" s="22">
        <v>108.62</v>
      </c>
    </row>
    <row r="21" spans="1:6" ht="18" customHeight="1">
      <c r="A21" s="20">
        <v>14</v>
      </c>
      <c r="B21" s="23">
        <v>45750</v>
      </c>
      <c r="C21" s="65" t="s">
        <v>12</v>
      </c>
      <c r="D21" s="65"/>
      <c r="E21" s="42" t="s">
        <v>13</v>
      </c>
      <c r="F21" s="22">
        <v>109.43</v>
      </c>
    </row>
    <row r="22" spans="1:6" ht="18" customHeight="1">
      <c r="A22" s="20">
        <v>15</v>
      </c>
      <c r="B22" s="23">
        <v>45756</v>
      </c>
      <c r="C22" s="65" t="s">
        <v>12</v>
      </c>
      <c r="D22" s="65"/>
      <c r="E22" s="42" t="s">
        <v>13</v>
      </c>
      <c r="F22" s="22">
        <v>93.27</v>
      </c>
    </row>
    <row r="23" spans="1:6" ht="18" customHeight="1">
      <c r="A23" s="20">
        <v>16</v>
      </c>
      <c r="B23" s="23">
        <v>45763</v>
      </c>
      <c r="C23" s="65" t="s">
        <v>12</v>
      </c>
      <c r="D23" s="65"/>
      <c r="E23" s="42" t="s">
        <v>13</v>
      </c>
      <c r="F23" s="22">
        <v>85.92</v>
      </c>
    </row>
    <row r="24" spans="1:6" ht="18" customHeight="1">
      <c r="A24" s="20">
        <v>17</v>
      </c>
      <c r="B24" s="23">
        <v>45770</v>
      </c>
      <c r="C24" s="65" t="s">
        <v>12</v>
      </c>
      <c r="D24" s="65"/>
      <c r="E24" s="42" t="s">
        <v>13</v>
      </c>
      <c r="F24" s="22">
        <v>85.78</v>
      </c>
    </row>
    <row r="25" spans="1:6" ht="18" customHeight="1">
      <c r="A25" s="20">
        <v>18</v>
      </c>
      <c r="B25" s="23">
        <v>45775</v>
      </c>
      <c r="C25" s="65" t="s">
        <v>12</v>
      </c>
      <c r="D25" s="65"/>
      <c r="E25" s="42" t="s">
        <v>13</v>
      </c>
      <c r="F25" s="22">
        <v>75.849999999999994</v>
      </c>
    </row>
    <row r="26" spans="1:6" ht="15.75">
      <c r="A26" s="20">
        <v>19</v>
      </c>
      <c r="B26" s="23">
        <v>45779</v>
      </c>
      <c r="C26" s="65" t="s">
        <v>12</v>
      </c>
      <c r="D26" s="65"/>
      <c r="E26" s="42" t="s">
        <v>13</v>
      </c>
      <c r="F26" s="22">
        <v>107.25</v>
      </c>
    </row>
    <row r="27" spans="1:6" ht="15.75">
      <c r="A27" s="20">
        <v>20</v>
      </c>
      <c r="B27" s="23"/>
      <c r="C27" s="65" t="s">
        <v>12</v>
      </c>
      <c r="D27" s="65"/>
      <c r="E27" s="42" t="s">
        <v>13</v>
      </c>
      <c r="F27" s="22"/>
    </row>
    <row r="28" spans="1:6" ht="15.75">
      <c r="A28" s="20">
        <v>21</v>
      </c>
      <c r="B28" s="23"/>
      <c r="C28" s="65" t="s">
        <v>12</v>
      </c>
      <c r="D28" s="65"/>
      <c r="E28" s="42" t="s">
        <v>13</v>
      </c>
      <c r="F28" s="22"/>
    </row>
    <row r="29" spans="1:6" ht="15.75">
      <c r="A29" s="20">
        <v>22</v>
      </c>
      <c r="B29" s="23"/>
      <c r="C29" s="65" t="s">
        <v>12</v>
      </c>
      <c r="D29" s="65"/>
      <c r="E29" s="42" t="s">
        <v>13</v>
      </c>
      <c r="F29" s="22"/>
    </row>
    <row r="30" spans="1:6" ht="15.75">
      <c r="A30" s="1"/>
      <c r="B30" s="1"/>
      <c r="C30" s="1"/>
      <c r="D30" s="1"/>
      <c r="E30" s="13" t="s">
        <v>14</v>
      </c>
      <c r="F30" s="14">
        <f>SUM(F8:F29)</f>
        <v>1796.1</v>
      </c>
    </row>
    <row r="31" spans="1:6" ht="15.75">
      <c r="A31" s="19"/>
      <c r="B31" s="19"/>
      <c r="C31" s="19"/>
      <c r="D31" s="19" t="s">
        <v>15</v>
      </c>
      <c r="E31" s="19"/>
      <c r="F31" s="19"/>
    </row>
    <row r="32" spans="1:6" ht="29.25">
      <c r="A32" s="8" t="s">
        <v>7</v>
      </c>
      <c r="B32" s="9" t="s">
        <v>8</v>
      </c>
      <c r="C32" s="62" t="s">
        <v>16</v>
      </c>
      <c r="D32" s="62"/>
      <c r="E32" s="9" t="s">
        <v>10</v>
      </c>
      <c r="F32" s="9" t="s">
        <v>11</v>
      </c>
    </row>
    <row r="33" spans="1:6" ht="15.75">
      <c r="A33" s="37">
        <v>1</v>
      </c>
      <c r="B33" s="29">
        <v>45709</v>
      </c>
      <c r="C33" s="78" t="s">
        <v>17</v>
      </c>
      <c r="D33" s="78"/>
      <c r="E33" s="38" t="s">
        <v>13</v>
      </c>
      <c r="F33" s="45">
        <v>323.45999999999998</v>
      </c>
    </row>
    <row r="34" spans="1:6" ht="15.75">
      <c r="A34" s="31">
        <v>2</v>
      </c>
      <c r="B34" s="11">
        <v>45721</v>
      </c>
      <c r="C34" s="66" t="s">
        <v>18</v>
      </c>
      <c r="D34" s="67"/>
      <c r="E34" s="38" t="s">
        <v>13</v>
      </c>
      <c r="F34" s="46">
        <v>56.45</v>
      </c>
    </row>
    <row r="35" spans="1:6" ht="15.75">
      <c r="A35" s="32">
        <v>3</v>
      </c>
      <c r="B35" s="12">
        <v>45763</v>
      </c>
      <c r="C35" s="68" t="s">
        <v>17</v>
      </c>
      <c r="D35" s="68"/>
      <c r="E35" s="38" t="s">
        <v>19</v>
      </c>
      <c r="F35" s="47">
        <v>15.95</v>
      </c>
    </row>
    <row r="36" spans="1:6" ht="15.75">
      <c r="A36" s="39">
        <v>4</v>
      </c>
      <c r="B36" s="11"/>
      <c r="C36" s="66"/>
      <c r="D36" s="67"/>
      <c r="E36" s="27"/>
      <c r="F36" s="48"/>
    </row>
    <row r="37" spans="1:6" ht="15.75">
      <c r="A37" s="32">
        <v>5</v>
      </c>
      <c r="B37" s="12"/>
      <c r="C37" s="68"/>
      <c r="D37" s="68"/>
      <c r="E37" s="26"/>
      <c r="F37" s="47"/>
    </row>
    <row r="38" spans="1:6" ht="15.75">
      <c r="A38" s="40">
        <v>6</v>
      </c>
      <c r="B38" s="10"/>
      <c r="C38" s="56"/>
      <c r="D38" s="57"/>
      <c r="E38" s="41"/>
      <c r="F38" s="49"/>
    </row>
    <row r="39" spans="1:6" ht="15.75">
      <c r="A39" s="37">
        <v>7</v>
      </c>
      <c r="B39" s="23"/>
      <c r="C39" s="60"/>
      <c r="D39" s="60"/>
      <c r="E39" s="24"/>
      <c r="F39" s="50"/>
    </row>
    <row r="40" spans="1:6" ht="15.75">
      <c r="A40" s="31">
        <v>8</v>
      </c>
      <c r="B40" s="23"/>
      <c r="C40" s="60"/>
      <c r="D40" s="60"/>
      <c r="E40" s="24"/>
      <c r="F40" s="50"/>
    </row>
    <row r="41" spans="1:6" ht="15.75">
      <c r="A41" s="32">
        <v>9</v>
      </c>
      <c r="B41" s="23"/>
      <c r="C41" s="60"/>
      <c r="D41" s="60"/>
      <c r="E41" s="24"/>
      <c r="F41" s="50"/>
    </row>
    <row r="42" spans="1:6" ht="15.75">
      <c r="A42" s="39">
        <v>10</v>
      </c>
      <c r="B42" s="23"/>
      <c r="C42" s="60"/>
      <c r="D42" s="60"/>
      <c r="E42" s="24"/>
      <c r="F42" s="50"/>
    </row>
    <row r="43" spans="1:6" ht="15.75">
      <c r="A43" s="32">
        <v>11</v>
      </c>
      <c r="B43" s="23"/>
      <c r="C43" s="60"/>
      <c r="D43" s="60"/>
      <c r="E43" s="24"/>
      <c r="F43" s="50"/>
    </row>
    <row r="44" spans="1:6" ht="15.75">
      <c r="A44" s="40">
        <v>12</v>
      </c>
      <c r="B44" s="23"/>
      <c r="C44" s="60"/>
      <c r="D44" s="60"/>
      <c r="E44" s="24"/>
      <c r="F44" s="50"/>
    </row>
    <row r="45" spans="1:6" ht="15.75">
      <c r="A45" s="37">
        <v>13</v>
      </c>
      <c r="B45" s="23"/>
      <c r="C45" s="60"/>
      <c r="D45" s="60"/>
      <c r="E45" s="24"/>
      <c r="F45" s="50"/>
    </row>
    <row r="46" spans="1:6" ht="15.75">
      <c r="A46" s="31">
        <v>14</v>
      </c>
      <c r="B46" s="23"/>
      <c r="C46" s="60"/>
      <c r="D46" s="60"/>
      <c r="E46" s="24"/>
      <c r="F46" s="50"/>
    </row>
    <row r="47" spans="1:6" ht="15.75">
      <c r="A47" s="32">
        <v>15</v>
      </c>
      <c r="B47" s="23"/>
      <c r="C47" s="60"/>
      <c r="D47" s="60"/>
      <c r="E47" s="24"/>
      <c r="F47" s="50"/>
    </row>
    <row r="48" spans="1:6" ht="15.75">
      <c r="A48" s="39">
        <v>16</v>
      </c>
      <c r="B48" s="23"/>
      <c r="C48" s="60"/>
      <c r="D48" s="60"/>
      <c r="E48" s="24"/>
      <c r="F48" s="50"/>
    </row>
    <row r="49" spans="1:6" ht="15.75">
      <c r="A49" s="32">
        <v>17</v>
      </c>
      <c r="B49" s="23"/>
      <c r="C49" s="60"/>
      <c r="D49" s="60"/>
      <c r="E49" s="24"/>
      <c r="F49" s="50"/>
    </row>
    <row r="50" spans="1:6" ht="15.75">
      <c r="A50" s="40">
        <v>18</v>
      </c>
      <c r="B50" s="23"/>
      <c r="C50" s="60"/>
      <c r="D50" s="60"/>
      <c r="E50" s="24"/>
      <c r="F50" s="50"/>
    </row>
    <row r="51" spans="1:6" ht="15.75">
      <c r="A51" s="37">
        <v>19</v>
      </c>
      <c r="B51" s="23"/>
      <c r="C51" s="60"/>
      <c r="D51" s="60"/>
      <c r="E51" s="24"/>
      <c r="F51" s="50"/>
    </row>
    <row r="52" spans="1:6" ht="15.75">
      <c r="A52" s="31">
        <v>20</v>
      </c>
      <c r="B52" s="23"/>
      <c r="C52" s="60"/>
      <c r="D52" s="60"/>
      <c r="E52" s="24"/>
      <c r="F52" s="50"/>
    </row>
    <row r="53" spans="1:6" ht="15.75">
      <c r="A53" s="32">
        <v>21</v>
      </c>
      <c r="B53" s="23"/>
      <c r="C53" s="60"/>
      <c r="D53" s="60"/>
      <c r="E53" s="24"/>
      <c r="F53" s="50"/>
    </row>
    <row r="54" spans="1:6" ht="15.75">
      <c r="A54" s="39">
        <v>22</v>
      </c>
      <c r="B54" s="23"/>
      <c r="C54" s="60"/>
      <c r="D54" s="60"/>
      <c r="E54" s="24"/>
      <c r="F54" s="50"/>
    </row>
    <row r="55" spans="1:6" ht="15.75">
      <c r="A55" s="32">
        <v>23</v>
      </c>
      <c r="B55" s="23"/>
      <c r="C55" s="60"/>
      <c r="D55" s="60"/>
      <c r="E55" s="24"/>
      <c r="F55" s="50"/>
    </row>
    <row r="56" spans="1:6" ht="15.75">
      <c r="A56" s="40">
        <v>24</v>
      </c>
      <c r="B56" s="23"/>
      <c r="C56" s="60"/>
      <c r="D56" s="60"/>
      <c r="E56" s="24"/>
      <c r="F56" s="50"/>
    </row>
    <row r="57" spans="1:6" ht="15.75">
      <c r="A57" s="37">
        <v>25</v>
      </c>
      <c r="B57" s="23"/>
      <c r="C57" s="60"/>
      <c r="D57" s="60"/>
      <c r="E57" s="24"/>
      <c r="F57" s="50"/>
    </row>
    <row r="58" spans="1:6" ht="15.75">
      <c r="A58" s="31">
        <v>26</v>
      </c>
      <c r="B58" s="23"/>
      <c r="C58" s="60"/>
      <c r="D58" s="60"/>
      <c r="E58" s="24"/>
      <c r="F58" s="50"/>
    </row>
    <row r="59" spans="1:6" ht="15.75">
      <c r="A59" s="32">
        <v>27</v>
      </c>
      <c r="B59" s="23"/>
      <c r="C59" s="60"/>
      <c r="D59" s="60"/>
      <c r="E59" s="24"/>
      <c r="F59" s="50"/>
    </row>
    <row r="60" spans="1:6" ht="15.75">
      <c r="A60" s="39">
        <v>28</v>
      </c>
      <c r="B60" s="23"/>
      <c r="C60" s="60"/>
      <c r="D60" s="60"/>
      <c r="E60" s="24"/>
      <c r="F60" s="50"/>
    </row>
    <row r="61" spans="1:6" ht="15.75">
      <c r="A61" s="32">
        <v>29</v>
      </c>
      <c r="B61" s="23"/>
      <c r="C61" s="60"/>
      <c r="D61" s="60"/>
      <c r="E61" s="24"/>
      <c r="F61" s="50"/>
    </row>
    <row r="62" spans="1:6" ht="15.75">
      <c r="A62" s="40">
        <v>30</v>
      </c>
      <c r="B62" s="23"/>
      <c r="C62" s="60"/>
      <c r="D62" s="60"/>
      <c r="E62" s="24"/>
      <c r="F62" s="50"/>
    </row>
    <row r="63" spans="1:6" ht="15.75">
      <c r="A63" s="1"/>
      <c r="B63" s="1"/>
      <c r="C63" s="1"/>
      <c r="D63" s="1"/>
      <c r="E63" s="13" t="s">
        <v>14</v>
      </c>
      <c r="F63" s="51">
        <f>SUM(F33:F62)</f>
        <v>395.85999999999996</v>
      </c>
    </row>
    <row r="64" spans="1:6" ht="15.75">
      <c r="A64" s="19"/>
      <c r="B64" s="19"/>
      <c r="C64" s="19"/>
      <c r="D64" s="19" t="s">
        <v>20</v>
      </c>
      <c r="E64" s="19"/>
      <c r="F64" s="19"/>
    </row>
    <row r="65" spans="1:6" ht="29.25">
      <c r="A65" s="8" t="s">
        <v>7</v>
      </c>
      <c r="B65" s="9" t="s">
        <v>8</v>
      </c>
      <c r="C65" s="62" t="s">
        <v>16</v>
      </c>
      <c r="D65" s="62"/>
      <c r="E65" s="9" t="s">
        <v>21</v>
      </c>
      <c r="F65" s="9" t="s">
        <v>11</v>
      </c>
    </row>
    <row r="66" spans="1:6" ht="15.75">
      <c r="A66" s="30">
        <v>1</v>
      </c>
      <c r="B66" s="43" t="s">
        <v>22</v>
      </c>
      <c r="C66" s="81"/>
      <c r="D66" s="82"/>
      <c r="E66" s="26" t="s">
        <v>23</v>
      </c>
      <c r="F66" s="33">
        <v>62</v>
      </c>
    </row>
    <row r="67" spans="1:6" ht="15.75">
      <c r="A67" s="31">
        <v>2</v>
      </c>
      <c r="B67" s="44" t="s">
        <v>24</v>
      </c>
      <c r="C67" s="83"/>
      <c r="D67" s="84"/>
      <c r="E67" s="26" t="s">
        <v>23</v>
      </c>
      <c r="F67" s="33">
        <v>62</v>
      </c>
    </row>
    <row r="68" spans="1:6" ht="15.75">
      <c r="A68" s="32">
        <v>3</v>
      </c>
      <c r="B68" s="12" t="s">
        <v>25</v>
      </c>
      <c r="C68" s="61"/>
      <c r="D68" s="61"/>
      <c r="E68" s="26" t="s">
        <v>23</v>
      </c>
      <c r="F68" s="33">
        <v>62</v>
      </c>
    </row>
    <row r="69" spans="1:6" ht="15.75">
      <c r="A69" s="31">
        <v>4</v>
      </c>
      <c r="B69" s="11" t="s">
        <v>26</v>
      </c>
      <c r="C69" s="66"/>
      <c r="D69" s="67"/>
      <c r="E69" s="26" t="s">
        <v>23</v>
      </c>
      <c r="F69" s="33">
        <v>62</v>
      </c>
    </row>
    <row r="70" spans="1:6" ht="15.75">
      <c r="A70" s="32">
        <v>5</v>
      </c>
      <c r="B70" s="11" t="s">
        <v>27</v>
      </c>
      <c r="C70" s="66"/>
      <c r="D70" s="67"/>
      <c r="E70" s="26" t="s">
        <v>23</v>
      </c>
      <c r="F70" s="33">
        <v>62</v>
      </c>
    </row>
    <row r="71" spans="1:6" ht="15.75">
      <c r="A71" s="34">
        <v>6</v>
      </c>
      <c r="B71" s="43" t="s">
        <v>22</v>
      </c>
      <c r="C71" s="58" t="s">
        <v>28</v>
      </c>
      <c r="D71" s="59"/>
      <c r="E71" s="26" t="s">
        <v>29</v>
      </c>
      <c r="F71" s="33">
        <v>55</v>
      </c>
    </row>
    <row r="72" spans="1:6" ht="15.75">
      <c r="A72" s="30">
        <v>7</v>
      </c>
      <c r="B72" s="44" t="s">
        <v>24</v>
      </c>
      <c r="C72" s="52" t="s">
        <v>28</v>
      </c>
      <c r="D72" s="53"/>
      <c r="E72" s="26" t="s">
        <v>29</v>
      </c>
      <c r="F72" s="33">
        <v>55</v>
      </c>
    </row>
    <row r="73" spans="1:6" ht="15.75">
      <c r="A73" s="31">
        <v>8</v>
      </c>
      <c r="B73" s="12" t="s">
        <v>25</v>
      </c>
      <c r="C73" s="52" t="s">
        <v>28</v>
      </c>
      <c r="D73" s="53"/>
      <c r="E73" s="26" t="s">
        <v>29</v>
      </c>
      <c r="F73" s="33">
        <v>55</v>
      </c>
    </row>
    <row r="74" spans="1:6" ht="15.75">
      <c r="A74" s="32">
        <v>9</v>
      </c>
      <c r="B74" s="11" t="s">
        <v>26</v>
      </c>
      <c r="C74" s="52" t="s">
        <v>28</v>
      </c>
      <c r="D74" s="53"/>
      <c r="E74" s="26" t="s">
        <v>29</v>
      </c>
      <c r="F74" s="33">
        <v>55</v>
      </c>
    </row>
    <row r="75" spans="1:6" ht="15.75">
      <c r="A75" s="31">
        <v>10</v>
      </c>
      <c r="B75" s="11" t="s">
        <v>27</v>
      </c>
      <c r="C75" s="52" t="s">
        <v>28</v>
      </c>
      <c r="D75" s="53"/>
      <c r="E75" s="26" t="s">
        <v>29</v>
      </c>
      <c r="F75" s="33">
        <v>55</v>
      </c>
    </row>
    <row r="76" spans="1:6" ht="15.75">
      <c r="A76" s="32">
        <v>11</v>
      </c>
      <c r="B76" s="29">
        <v>45690</v>
      </c>
      <c r="C76" s="54" t="s">
        <v>30</v>
      </c>
      <c r="D76" s="55"/>
      <c r="E76" s="35" t="s">
        <v>31</v>
      </c>
      <c r="F76" s="36">
        <v>25.48</v>
      </c>
    </row>
    <row r="77" spans="1:6" ht="15.75">
      <c r="A77" s="34">
        <v>12</v>
      </c>
      <c r="B77" s="29"/>
      <c r="C77" s="54" t="s">
        <v>32</v>
      </c>
      <c r="D77" s="55"/>
      <c r="E77" s="35" t="s">
        <v>33</v>
      </c>
      <c r="F77" s="36">
        <v>21.22</v>
      </c>
    </row>
    <row r="78" spans="1:6" ht="15.75">
      <c r="A78" s="30">
        <v>13</v>
      </c>
      <c r="B78" s="29">
        <v>46021</v>
      </c>
      <c r="C78" s="54" t="s">
        <v>34</v>
      </c>
      <c r="D78" s="55"/>
      <c r="E78" s="35" t="s">
        <v>35</v>
      </c>
      <c r="F78" s="36">
        <v>87.92</v>
      </c>
    </row>
    <row r="79" spans="1:6" ht="15.75">
      <c r="A79" s="31">
        <v>14</v>
      </c>
      <c r="B79" s="29"/>
      <c r="C79" s="54" t="s">
        <v>36</v>
      </c>
      <c r="D79" s="55"/>
      <c r="E79" s="35" t="s">
        <v>37</v>
      </c>
      <c r="F79" s="36">
        <v>266.31</v>
      </c>
    </row>
    <row r="80" spans="1:6" ht="15.75">
      <c r="A80" s="32">
        <v>15</v>
      </c>
      <c r="B80" s="29">
        <v>45758</v>
      </c>
      <c r="C80" s="54" t="s">
        <v>38</v>
      </c>
      <c r="D80" s="55"/>
      <c r="E80" s="35" t="s">
        <v>39</v>
      </c>
      <c r="F80" s="36">
        <v>72.45</v>
      </c>
    </row>
    <row r="81" spans="1:6" ht="15.75">
      <c r="A81" s="31">
        <v>16</v>
      </c>
      <c r="B81" s="29">
        <v>45785</v>
      </c>
      <c r="C81" s="54" t="s">
        <v>40</v>
      </c>
      <c r="D81" s="55"/>
      <c r="E81" s="35" t="s">
        <v>41</v>
      </c>
      <c r="F81" s="36">
        <v>223.84</v>
      </c>
    </row>
    <row r="82" spans="1:6" ht="15.75">
      <c r="A82" s="32">
        <v>17</v>
      </c>
      <c r="B82" s="29">
        <v>45758</v>
      </c>
      <c r="C82" s="54" t="s">
        <v>42</v>
      </c>
      <c r="D82" s="55"/>
      <c r="E82" s="35" t="s">
        <v>43</v>
      </c>
      <c r="F82" s="36">
        <v>69.25</v>
      </c>
    </row>
    <row r="83" spans="1:6" ht="15.75">
      <c r="A83" s="34">
        <v>18</v>
      </c>
      <c r="B83" s="29">
        <v>45756</v>
      </c>
      <c r="C83" s="56" t="s">
        <v>44</v>
      </c>
      <c r="D83" s="57"/>
      <c r="E83" s="35" t="s">
        <v>45</v>
      </c>
      <c r="F83" s="36">
        <v>9.19</v>
      </c>
    </row>
    <row r="84" spans="1:6" ht="15.75">
      <c r="A84" s="30">
        <v>19</v>
      </c>
      <c r="B84" s="29">
        <v>45782</v>
      </c>
      <c r="C84" s="56" t="s">
        <v>46</v>
      </c>
      <c r="D84" s="57"/>
      <c r="E84" s="35" t="s">
        <v>47</v>
      </c>
      <c r="F84" s="36">
        <v>59.98</v>
      </c>
    </row>
    <row r="85" spans="1:6" ht="15.75">
      <c r="A85" s="31">
        <v>20</v>
      </c>
      <c r="B85" s="29"/>
      <c r="C85" s="56"/>
      <c r="D85" s="57"/>
      <c r="E85" s="35"/>
      <c r="F85" s="36"/>
    </row>
    <row r="86" spans="1:6" ht="15.75">
      <c r="A86" s="30">
        <v>21</v>
      </c>
      <c r="B86" s="29"/>
      <c r="C86" s="56"/>
      <c r="D86" s="57"/>
      <c r="E86" s="35"/>
      <c r="F86" s="36"/>
    </row>
    <row r="87" spans="1:6" ht="15.75">
      <c r="A87" s="31">
        <v>22</v>
      </c>
      <c r="B87" s="29"/>
      <c r="C87" s="56"/>
      <c r="D87" s="57"/>
      <c r="E87" s="35"/>
      <c r="F87" s="36"/>
    </row>
    <row r="88" spans="1:6" ht="15.75">
      <c r="A88" s="32">
        <v>23</v>
      </c>
      <c r="B88" s="29"/>
      <c r="C88" s="56"/>
      <c r="D88" s="57"/>
      <c r="E88" s="35"/>
      <c r="F88" s="36"/>
    </row>
    <row r="89" spans="1:6" ht="15.75">
      <c r="A89" s="31">
        <v>24</v>
      </c>
      <c r="B89" s="29"/>
      <c r="C89" s="56"/>
      <c r="D89" s="57"/>
      <c r="E89" s="35"/>
      <c r="F89" s="36"/>
    </row>
    <row r="90" spans="1:6" ht="15.75">
      <c r="A90" s="32">
        <v>25</v>
      </c>
      <c r="B90" s="29"/>
      <c r="C90" s="56"/>
      <c r="D90" s="57"/>
      <c r="E90" s="35"/>
      <c r="F90" s="36"/>
    </row>
    <row r="91" spans="1:6" ht="15.75">
      <c r="A91" s="34">
        <v>26</v>
      </c>
      <c r="B91" s="29"/>
      <c r="C91" s="56"/>
      <c r="D91" s="57"/>
      <c r="E91" s="35"/>
      <c r="F91" s="36"/>
    </row>
    <row r="92" spans="1:6" ht="15.75">
      <c r="A92" s="30">
        <v>27</v>
      </c>
      <c r="B92" s="29"/>
      <c r="C92" s="56"/>
      <c r="D92" s="57"/>
      <c r="E92" s="35"/>
      <c r="F92" s="36"/>
    </row>
    <row r="93" spans="1:6" ht="15.75">
      <c r="A93" s="31">
        <v>28</v>
      </c>
      <c r="B93" s="29"/>
      <c r="C93" s="56"/>
      <c r="D93" s="57"/>
      <c r="E93" s="35"/>
      <c r="F93" s="36"/>
    </row>
    <row r="94" spans="1:6" ht="15.75">
      <c r="A94" s="32">
        <v>29</v>
      </c>
      <c r="B94" s="29"/>
      <c r="C94" s="56"/>
      <c r="D94" s="57"/>
      <c r="E94" s="35"/>
      <c r="F94" s="36"/>
    </row>
    <row r="95" spans="1:6" ht="15.75">
      <c r="A95" s="31">
        <v>30</v>
      </c>
      <c r="B95" s="29"/>
      <c r="C95" s="56"/>
      <c r="D95" s="57"/>
      <c r="E95" s="35"/>
      <c r="F95" s="36"/>
    </row>
    <row r="96" spans="1:6" ht="15.75">
      <c r="A96" s="1"/>
      <c r="B96" s="1"/>
      <c r="C96" s="1"/>
      <c r="D96" s="1"/>
      <c r="E96" s="13" t="s">
        <v>14</v>
      </c>
      <c r="F96" s="14">
        <f>SUM(F66:F95)</f>
        <v>1420.64</v>
      </c>
    </row>
    <row r="97" spans="1:6" ht="15.75">
      <c r="A97" s="79" t="s">
        <v>48</v>
      </c>
      <c r="B97" s="79"/>
      <c r="C97" s="79"/>
      <c r="D97" s="80"/>
      <c r="E97" s="25" t="s">
        <v>49</v>
      </c>
      <c r="F97" s="28">
        <f>F96+F30+F63</f>
        <v>3612.6</v>
      </c>
    </row>
  </sheetData>
  <mergeCells count="83">
    <mergeCell ref="C53:D53"/>
    <mergeCell ref="C54:D54"/>
    <mergeCell ref="A97:D97"/>
    <mergeCell ref="C69:D69"/>
    <mergeCell ref="C70:D70"/>
    <mergeCell ref="C71:D71"/>
    <mergeCell ref="C83:D83"/>
    <mergeCell ref="C84:D84"/>
    <mergeCell ref="C85:D85"/>
    <mergeCell ref="C86:D86"/>
    <mergeCell ref="C87:D87"/>
    <mergeCell ref="C88:D88"/>
    <mergeCell ref="C55:D55"/>
    <mergeCell ref="C48:D48"/>
    <mergeCell ref="C49:D49"/>
    <mergeCell ref="C50:D50"/>
    <mergeCell ref="C51:D51"/>
    <mergeCell ref="C52:D52"/>
    <mergeCell ref="C10:D10"/>
    <mergeCell ref="C35:D35"/>
    <mergeCell ref="C12:D12"/>
    <mergeCell ref="C13:D13"/>
    <mergeCell ref="C32:D32"/>
    <mergeCell ref="C33:D33"/>
    <mergeCell ref="C34:D34"/>
    <mergeCell ref="C27:D27"/>
    <mergeCell ref="C28:D28"/>
    <mergeCell ref="C29:D29"/>
    <mergeCell ref="D4:E4"/>
    <mergeCell ref="A6:F6"/>
    <mergeCell ref="C7:D7"/>
    <mergeCell ref="C8:D8"/>
    <mergeCell ref="C9:D9"/>
    <mergeCell ref="A1:B1"/>
    <mergeCell ref="C1:F1"/>
    <mergeCell ref="B2:C2"/>
    <mergeCell ref="D2:E2"/>
    <mergeCell ref="B3:C3"/>
    <mergeCell ref="D3:E3"/>
    <mergeCell ref="C42:D42"/>
    <mergeCell ref="C43:D43"/>
    <mergeCell ref="C44:D44"/>
    <mergeCell ref="C45:D45"/>
    <mergeCell ref="C11:D11"/>
    <mergeCell ref="C36:D36"/>
    <mergeCell ref="C37:D37"/>
    <mergeCell ref="C38:D38"/>
    <mergeCell ref="C39:D39"/>
    <mergeCell ref="C40:D40"/>
    <mergeCell ref="C46:D46"/>
    <mergeCell ref="C47:D47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41:D41"/>
    <mergeCell ref="C56:D56"/>
    <mergeCell ref="C57:D57"/>
    <mergeCell ref="C58:D58"/>
    <mergeCell ref="C59:D59"/>
    <mergeCell ref="C60:D60"/>
    <mergeCell ref="C61:D61"/>
    <mergeCell ref="C62:D62"/>
    <mergeCell ref="C68:D68"/>
    <mergeCell ref="C65:D65"/>
    <mergeCell ref="C66:D66"/>
    <mergeCell ref="C67:D67"/>
    <mergeCell ref="C94:D94"/>
    <mergeCell ref="C95:D95"/>
    <mergeCell ref="C89:D89"/>
    <mergeCell ref="C90:D90"/>
    <mergeCell ref="C91:D91"/>
    <mergeCell ref="C92:D92"/>
    <mergeCell ref="C93:D93"/>
  </mergeCells>
  <pageMargins left="0.7" right="0.7" top="0.75" bottom="0.75" header="0.3" footer="0.3"/>
  <pageSetup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6A8971D922B4CB394CE1CFAC3B9A7" ma:contentTypeVersion="17" ma:contentTypeDescription="Create a new document." ma:contentTypeScope="" ma:versionID="459dbe8866c82c2a2d2904356abbed8a">
  <xsd:schema xmlns:xsd="http://www.w3.org/2001/XMLSchema" xmlns:xs="http://www.w3.org/2001/XMLSchema" xmlns:p="http://schemas.microsoft.com/office/2006/metadata/properties" xmlns:ns2="cb661534-5a6e-4706-b25b-adcf410566df" xmlns:ns3="8efb8538-ec6e-443b-ab16-89398f784a79" targetNamespace="http://schemas.microsoft.com/office/2006/metadata/properties" ma:root="true" ma:fieldsID="6b72a04f41431c5793bc4bf4a9f15dd1" ns2:_="" ns3:_="">
    <xsd:import namespace="cb661534-5a6e-4706-b25b-adcf410566df"/>
    <xsd:import namespace="8efb8538-ec6e-443b-ab16-89398f784a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61534-5a6e-4706-b25b-adcf410566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d15b687-bc7d-4c34-99bb-c05c3531e4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b8538-ec6e-443b-ab16-89398f784a79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cbc458b6-fb7d-4682-a235-828eaeaa57ed}" ma:internalName="TaxCatchAll" ma:showField="CatchAllData" ma:web="8efb8538-ec6e-443b-ab16-89398f784a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fb8538-ec6e-443b-ab16-89398f784a79" xsi:nil="true"/>
    <lcf76f155ced4ddcb4097134ff3c332f xmlns="cb661534-5a6e-4706-b25b-adcf410566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664CE4-8EE0-4A7C-80C3-60E0186B08C2}"/>
</file>

<file path=customXml/itemProps2.xml><?xml version="1.0" encoding="utf-8"?>
<ds:datastoreItem xmlns:ds="http://schemas.openxmlformats.org/officeDocument/2006/customXml" ds:itemID="{AB48F61C-8375-4513-86E4-B8FD248DEF33}"/>
</file>

<file path=customXml/itemProps3.xml><?xml version="1.0" encoding="utf-8"?>
<ds:datastoreItem xmlns:ds="http://schemas.openxmlformats.org/officeDocument/2006/customXml" ds:itemID="{DCED6F98-BB8B-4492-8779-A394531541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Mckenna Ruiz</dc:creator>
  <cp:keywords/>
  <dc:description/>
  <cp:lastModifiedBy>Duane Hamilton</cp:lastModifiedBy>
  <cp:revision/>
  <dcterms:created xsi:type="dcterms:W3CDTF">2020-05-14T13:55:10Z</dcterms:created>
  <dcterms:modified xsi:type="dcterms:W3CDTF">2025-05-09T00:00:23Z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0x0101001EC6A8971D922B4CB394CE1CFAC3B9A7</vt:lpwstr>
  </property>
  <property fmtid="{D5CDD505-2E9C-101B-9397-08002B2CF9AE}" pid="3" name="MediaServiceImageTags">
    <vt:lpwstr/>
  </property>
</Properties>
</file>